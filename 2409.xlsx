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esting Training\"/>
    </mc:Choice>
  </mc:AlternateContent>
  <xr:revisionPtr revIDLastSave="0" documentId="13_ncr:1_{C4C46A9B-8614-4B79-8253-7ED29F099D8F}" xr6:coauthVersionLast="47" xr6:coauthVersionMax="47" xr10:uidLastSave="{00000000-0000-0000-0000-000000000000}"/>
  <bookViews>
    <workbookView xWindow="-108" yWindow="-108" windowWidth="23256" windowHeight="13176" xr2:uid="{ECAFDE34-7D68-40FC-9D48-8D77B1903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6" i="1" l="1"/>
  <c r="W15" i="1"/>
  <c r="V15" i="1"/>
  <c r="W14" i="1"/>
  <c r="W13" i="1"/>
  <c r="W12" i="1"/>
  <c r="W11" i="1"/>
  <c r="W10" i="1"/>
  <c r="W9" i="1"/>
  <c r="V9" i="1"/>
  <c r="V14" i="1"/>
  <c r="V16" i="1"/>
  <c r="V13" i="1"/>
  <c r="V10" i="1"/>
  <c r="V11" i="1"/>
  <c r="V12" i="1"/>
  <c r="U9" i="1"/>
  <c r="U11" i="1"/>
  <c r="U12" i="1"/>
  <c r="U10" i="1"/>
  <c r="U16" i="1"/>
  <c r="U15" i="1"/>
  <c r="U14" i="1"/>
  <c r="U13" i="1"/>
  <c r="X11" i="1" l="1"/>
  <c r="X10" i="1"/>
  <c r="X16" i="1"/>
  <c r="X15" i="1"/>
  <c r="X14" i="1"/>
  <c r="X13" i="1"/>
  <c r="X12" i="1"/>
  <c r="V17" i="1"/>
  <c r="W17" i="1"/>
  <c r="U17" i="1"/>
  <c r="X9" i="1"/>
  <c r="X17" i="1" l="1"/>
</calcChain>
</file>

<file path=xl/sharedStrings.xml><?xml version="1.0" encoding="utf-8"?>
<sst xmlns="http://schemas.openxmlformats.org/spreadsheetml/2006/main" count="466" uniqueCount="337">
  <si>
    <t>Module 1 - Login &amp; Authentication</t>
  </si>
  <si>
    <t>Test Case ID</t>
  </si>
  <si>
    <t>Test Scenario</t>
  </si>
  <si>
    <t>Input</t>
  </si>
  <si>
    <t>Expected Result</t>
  </si>
  <si>
    <t>Actual Result</t>
  </si>
  <si>
    <t>Status</t>
  </si>
  <si>
    <t>1-TC01</t>
  </si>
  <si>
    <t>Verify login with valid credentials</t>
  </si>
  <si>
    <t>Valid username and valid password</t>
  </si>
  <si>
    <t>1-TC02</t>
  </si>
  <si>
    <t>Verify login with invalid username</t>
  </si>
  <si>
    <t>Invalid username and valid password</t>
  </si>
  <si>
    <t>1-TC03</t>
  </si>
  <si>
    <t>Verify login with invalid password</t>
  </si>
  <si>
    <t>Valid username and invalid password</t>
  </si>
  <si>
    <t>1-TC04</t>
  </si>
  <si>
    <t>Verify login with blank fields</t>
  </si>
  <si>
    <t>Username and password left blank</t>
  </si>
  <si>
    <t>1-TC05</t>
  </si>
  <si>
    <t>Verify password masking</t>
  </si>
  <si>
    <t>Enter a password in the password field</t>
  </si>
  <si>
    <t>1-TC06</t>
  </si>
  <si>
    <t>Verify logout functionality</t>
  </si>
  <si>
    <t>Logged-in user selects Logout</t>
  </si>
  <si>
    <t>1-TC07</t>
  </si>
  <si>
    <t>Verify browser back after logout</t>
  </si>
  <si>
    <t>User has logged out</t>
  </si>
  <si>
    <t>1-TC08</t>
  </si>
  <si>
    <t>Verify session timeout</t>
  </si>
  <si>
    <t>User session has expired</t>
  </si>
  <si>
    <t>Module 2 - Dashboard / Home</t>
  </si>
  <si>
    <t>2-TC01</t>
  </si>
  <si>
    <t>Verify dashboard loads correctly</t>
  </si>
  <si>
    <t>Valid logged-in user</t>
  </si>
  <si>
    <t>Dashboard should load without broken sections.</t>
  </si>
  <si>
    <t>2-TC02</t>
  </si>
  <si>
    <t>Verify student name on dashboard</t>
  </si>
  <si>
    <t>Logged-in student account</t>
  </si>
  <si>
    <t>Correct student name should be displayed.</t>
  </si>
  <si>
    <t>2-TC03</t>
  </si>
  <si>
    <t>Verify dashboard menu items</t>
  </si>
  <si>
    <t>Dashboard is open</t>
  </si>
  <si>
    <t>Available menu items should be visible and usable.</t>
  </si>
  <si>
    <t>2-TC04</t>
  </si>
  <si>
    <t>Verify dashboard navigation links</t>
  </si>
  <si>
    <t>Dashboard contains navigation links</t>
  </si>
  <si>
    <t>Each link should open the correct page.</t>
  </si>
  <si>
    <t>2-TC05</t>
  </si>
  <si>
    <t>Verify dashboard academic information</t>
  </si>
  <si>
    <t>Academic information is available</t>
  </si>
  <si>
    <t>Displayed information should match the student's record.</t>
  </si>
  <si>
    <t>2-TC06</t>
  </si>
  <si>
    <t>Verify dashboard after page refresh</t>
  </si>
  <si>
    <t>User is logged in</t>
  </si>
  <si>
    <t>Dashboard should reload normally.</t>
  </si>
  <si>
    <t>2-TC07</t>
  </si>
  <si>
    <t>Verify empty dashboard section</t>
  </si>
  <si>
    <t>A dashboard section has no data</t>
  </si>
  <si>
    <t>A suitable empty-state message should be displayed.</t>
  </si>
  <si>
    <t>2-TC08</t>
  </si>
  <si>
    <t>Verify dashboard display on different screen sizes</t>
  </si>
  <si>
    <t>Dashboard is available</t>
  </si>
  <si>
    <t>Dashboard content should remain readable and usable.</t>
  </si>
  <si>
    <t>Module 3 - Academic Schedule / Timetable</t>
  </si>
  <si>
    <t>3-TC01</t>
  </si>
  <si>
    <t>Verify subject names in timetable</t>
  </si>
  <si>
    <t>Timetable is available</t>
  </si>
  <si>
    <t>Correct subjects should be displayed.</t>
  </si>
  <si>
    <t>3-TC02</t>
  </si>
  <si>
    <t>Verify timetable dates</t>
  </si>
  <si>
    <t>3-TC03</t>
  </si>
  <si>
    <t>Verify class timings</t>
  </si>
  <si>
    <t>Timetable contains scheduled classes</t>
  </si>
  <si>
    <t>Correct start and end times should be displayed.</t>
  </si>
  <si>
    <t>3-TC04</t>
  </si>
  <si>
    <t>Verify faculty details</t>
  </si>
  <si>
    <t>Faculty information is available</t>
  </si>
  <si>
    <t>Correct faculty information should be displayed.</t>
  </si>
  <si>
    <t>3-TC05</t>
  </si>
  <si>
    <t>Verify timetable navigation</t>
  </si>
  <si>
    <t>Timetable is open</t>
  </si>
  <si>
    <t>User should be able to move between available dates or weeks.</t>
  </si>
  <si>
    <t>3-TC06</t>
  </si>
  <si>
    <t>Verify day with no classes</t>
  </si>
  <si>
    <t>Selected day has no classes</t>
  </si>
  <si>
    <t>Portal should clearly indicate that no classes are scheduled.</t>
  </si>
  <si>
    <t>3-TC07</t>
  </si>
  <si>
    <t>Verify timetable layout</t>
  </si>
  <si>
    <t>Timetable information should be aligned and readable.</t>
  </si>
  <si>
    <t>3-TC08</t>
  </si>
  <si>
    <t>Verify timetable detail link</t>
  </si>
  <si>
    <t>A timetable detail link is available</t>
  </si>
  <si>
    <t>Correct class details should open.</t>
  </si>
  <si>
    <t>Module 4 - Academic Progress</t>
  </si>
  <si>
    <t>4-TC01</t>
  </si>
  <si>
    <t>Verify academic progress page</t>
  </si>
  <si>
    <t>Academic progress page should load without errors.</t>
  </si>
  <si>
    <t>4-TC02</t>
  </si>
  <si>
    <t>Verify marks or grades</t>
  </si>
  <si>
    <t>Academic results are available</t>
  </si>
  <si>
    <t>Displayed marks or grades should match the student's record.</t>
  </si>
  <si>
    <t>4-TC03</t>
  </si>
  <si>
    <t>Verify attendance information</t>
  </si>
  <si>
    <t>Attendance data is available</t>
  </si>
  <si>
    <t>Correct attendance information should be displayed.</t>
  </si>
  <si>
    <t>4-TC04</t>
  </si>
  <si>
    <t>Verify subject-wise academic data</t>
  </si>
  <si>
    <t>Subject data is available</t>
  </si>
  <si>
    <t>Correct subject-wise information should be displayed.</t>
  </si>
  <si>
    <t>4-TC05</t>
  </si>
  <si>
    <t>Verify semester selection</t>
  </si>
  <si>
    <t>More than one semester is available</t>
  </si>
  <si>
    <t>Selected semester information should be displayed.</t>
  </si>
  <si>
    <t>4-TC06</t>
  </si>
  <si>
    <t>Verify percentage calculation</t>
  </si>
  <si>
    <t>Calculated academic information is available</t>
  </si>
  <si>
    <t>Displayed percentages should be calculated correctly.</t>
  </si>
  <si>
    <t>4-TC07</t>
  </si>
  <si>
    <t>Verify unavailable academic data</t>
  </si>
  <si>
    <t>Some academic data is unavailable</t>
  </si>
  <si>
    <t>Page should handle unavailable data without errors.</t>
  </si>
  <si>
    <t>4-TC08</t>
  </si>
  <si>
    <t>Verify access to another student's progress</t>
  </si>
  <si>
    <t>Another student's restricted academic information should not be accessible.</t>
  </si>
  <si>
    <t>Module 5 - Mentor / Guide</t>
  </si>
  <si>
    <t>5-TC01</t>
  </si>
  <si>
    <t>Verify mentor details</t>
  </si>
  <si>
    <t>Assigned mentor details should be displayed.</t>
  </si>
  <si>
    <t>5-TC02</t>
  </si>
  <si>
    <t>Verify mentor assignment</t>
  </si>
  <si>
    <t>Student has an assigned mentor</t>
  </si>
  <si>
    <t>Correct mentor should be associated with the student.</t>
  </si>
  <si>
    <t>5-TC03</t>
  </si>
  <si>
    <t>Verify mentor contact details</t>
  </si>
  <si>
    <t>Mentor contact information is available</t>
  </si>
  <si>
    <t>Correct contact information should be displayed.</t>
  </si>
  <si>
    <t>5-TC04</t>
  </si>
  <si>
    <t>Verify mentor page loading</t>
  </si>
  <si>
    <t>Mentor page should load without errors.</t>
  </si>
  <si>
    <t>5-TC05</t>
  </si>
  <si>
    <t>Verify no mentor information</t>
  </si>
  <si>
    <t>Mentor information is unavailable</t>
  </si>
  <si>
    <t>A suitable message should be displayed.</t>
  </si>
  <si>
    <t>5-TC06</t>
  </si>
  <si>
    <t>Verify restricted mentor information</t>
  </si>
  <si>
    <t>Restricted mentor information should not be editable.</t>
  </si>
  <si>
    <t>5-TC07</t>
  </si>
  <si>
    <t>Verify mentor navigation</t>
  </si>
  <si>
    <t>Mentor section is available</t>
  </si>
  <si>
    <t>Navigation into and out of the mentor section should work correctly.</t>
  </si>
  <si>
    <t>Module 6 - Class &amp; Groups</t>
  </si>
  <si>
    <t>6-TC01</t>
  </si>
  <si>
    <t>Verify assigned class</t>
  </si>
  <si>
    <t>Correct class should be displayed.</t>
  </si>
  <si>
    <t>6-TC02</t>
  </si>
  <si>
    <t>Verify assigned group</t>
  </si>
  <si>
    <t>Student belongs to a group</t>
  </si>
  <si>
    <t>Student should be associated with the correct group.</t>
  </si>
  <si>
    <t>6-TC03</t>
  </si>
  <si>
    <t>Verify group details</t>
  </si>
  <si>
    <t>Group information is available</t>
  </si>
  <si>
    <t>Group details should load correctly.</t>
  </si>
  <si>
    <t>6-TC04</t>
  </si>
  <si>
    <t>Verify group navigation</t>
  </si>
  <si>
    <t>Group page is available</t>
  </si>
  <si>
    <t>Navigation between group-related pages should work correctly.</t>
  </si>
  <si>
    <t>6-TC05</t>
  </si>
  <si>
    <t>Verify restricted group information</t>
  </si>
  <si>
    <t>Group information is restricted</t>
  </si>
  <si>
    <t>Restricted group fields should remain read-only.</t>
  </si>
  <si>
    <t>6-TC06</t>
  </si>
  <si>
    <t>Verify empty group data</t>
  </si>
  <si>
    <t>No group is assigned</t>
  </si>
  <si>
    <t>6-TC07</t>
  </si>
  <si>
    <t>Verify restricted group access</t>
  </si>
  <si>
    <t>Unauthorized group information should not be accessible.</t>
  </si>
  <si>
    <t>Module 7 - Events / Seminars / Workshops</t>
  </si>
  <si>
    <t>7-TC01</t>
  </si>
  <si>
    <t>Verify event list</t>
  </si>
  <si>
    <t>7-TC02</t>
  </si>
  <si>
    <t>Verify event information</t>
  </si>
  <si>
    <t>Events are available</t>
  </si>
  <si>
    <t>7-TC03</t>
  </si>
  <si>
    <t>Verify event details page</t>
  </si>
  <si>
    <t>An event is listed</t>
  </si>
  <si>
    <t>7-TC04</t>
  </si>
  <si>
    <t>Verify upcoming and past events</t>
  </si>
  <si>
    <t>Events with different dates are available</t>
  </si>
  <si>
    <t>7-TC05</t>
  </si>
  <si>
    <t>Verify event registration</t>
  </si>
  <si>
    <t>Event registration is available</t>
  </si>
  <si>
    <t>7-TC06</t>
  </si>
  <si>
    <t>Verify duplicate event registration</t>
  </si>
  <si>
    <t>Student is already registered</t>
  </si>
  <si>
    <t>7-TC07</t>
  </si>
  <si>
    <t>Verify registration status</t>
  </si>
  <si>
    <t>Student has registered for an event</t>
  </si>
  <si>
    <t>Correct registration status should be displayed.</t>
  </si>
  <si>
    <t>7-TC08</t>
  </si>
  <si>
    <t>Verify incomplete event information</t>
  </si>
  <si>
    <t>Event has optional information missing</t>
  </si>
  <si>
    <t>Event page should still load correctly.</t>
  </si>
  <si>
    <t>Module 8 - Request Letters / Documents</t>
  </si>
  <si>
    <t>8-TC01</t>
  </si>
  <si>
    <t>Verify document request page</t>
  </si>
  <si>
    <t>Document request page should load correctly.</t>
  </si>
  <si>
    <t>8-TC02</t>
  </si>
  <si>
    <t>Verify document types</t>
  </si>
  <si>
    <t>Document request page is open</t>
  </si>
  <si>
    <t>Available document types should be displayed.</t>
  </si>
  <si>
    <t>8-TC03</t>
  </si>
  <si>
    <t>Verify mandatory fields</t>
  </si>
  <si>
    <t>Request form is open</t>
  </si>
  <si>
    <t>Missing required fields should be highlighted.</t>
  </si>
  <si>
    <t>8-TC04</t>
  </si>
  <si>
    <t>Verify valid document request</t>
  </si>
  <si>
    <t>All required information is available</t>
  </si>
  <si>
    <t>Valid request should be submitted successfully.</t>
  </si>
  <si>
    <t>8-TC05</t>
  </si>
  <si>
    <t>Verify incomplete document request</t>
  </si>
  <si>
    <t>Required information is missing</t>
  </si>
  <si>
    <t>Submission should be prevented with suitable validation.</t>
  </si>
  <si>
    <t>8-TC06</t>
  </si>
  <si>
    <t>Verify request confirmation</t>
  </si>
  <si>
    <t>Valid request has been submitted</t>
  </si>
  <si>
    <t>A confirmation should be displayed.</t>
  </si>
  <si>
    <t>8-TC07</t>
  </si>
  <si>
    <t>Verify request status</t>
  </si>
  <si>
    <t>A document request exists</t>
  </si>
  <si>
    <t>Current request status should be displayed.</t>
  </si>
  <si>
    <t>8-TC08</t>
  </si>
  <si>
    <t>Verify request privacy</t>
  </si>
  <si>
    <t>Another student's request should not be accessible.</t>
  </si>
  <si>
    <t>Test Execution Summary</t>
  </si>
  <si>
    <t>Module</t>
  </si>
  <si>
    <t>Total Test Cases</t>
  </si>
  <si>
    <t>Passed</t>
  </si>
  <si>
    <t>Failed</t>
  </si>
  <si>
    <t>Pass %</t>
  </si>
  <si>
    <t>TOTAL</t>
  </si>
  <si>
    <t>Nandyala Malyadri Reddy</t>
  </si>
  <si>
    <t xml:space="preserve"> Manual testing: learner.saveetha.in</t>
  </si>
  <si>
    <t>User logged in without any errors</t>
  </si>
  <si>
    <t>PASSED</t>
  </si>
  <si>
    <t>Invalid credentials message displayed</t>
  </si>
  <si>
    <t>User should be logged in and redirected to the dashboard</t>
  </si>
  <si>
    <t>An appropriate invalid-credentials message should be displayed</t>
  </si>
  <si>
    <t>Password characters are masked</t>
  </si>
  <si>
    <t>User logged out without any errors</t>
  </si>
  <si>
    <t>Previously protected page should not be accessible</t>
  </si>
  <si>
    <t>Password characters should be masked</t>
  </si>
  <si>
    <t>Required-field validation should be displayed</t>
  </si>
  <si>
    <t>User should be logged out successfully</t>
  </si>
  <si>
    <t>User should be redirected to login or asked to authenticate again</t>
  </si>
  <si>
    <t>Not accesible using back button</t>
  </si>
  <si>
    <t>Session expiry is working properly</t>
  </si>
  <si>
    <t>Input/condition</t>
  </si>
  <si>
    <t>Dashboard is loading correctly</t>
  </si>
  <si>
    <t>correct student name is displayed</t>
  </si>
  <si>
    <t>Available menu items are showing and usable</t>
  </si>
  <si>
    <t>Naviagtion is working properly</t>
  </si>
  <si>
    <t>Displayed information is accurate</t>
  </si>
  <si>
    <t>Dashboard is reloading normally</t>
  </si>
  <si>
    <t>No requirement</t>
  </si>
  <si>
    <t>Dashboard is readable and usable in different screen sizes</t>
  </si>
  <si>
    <t>Correct dates should be displayed.</t>
  </si>
  <si>
    <t>Correct dates are displayed</t>
  </si>
  <si>
    <t>Correct sujects are displayed</t>
  </si>
  <si>
    <t>Correct start and end times are displayed</t>
  </si>
  <si>
    <t>Correct faculty information is displayed</t>
  </si>
  <si>
    <t>Navigation between dates and weeks are working properly</t>
  </si>
  <si>
    <t>No classes are displayed when it’s a no class day</t>
  </si>
  <si>
    <t>timetable is readable</t>
  </si>
  <si>
    <t>Details in time table link is accurate</t>
  </si>
  <si>
    <t>Acadamic progress is displayed without any errors</t>
  </si>
  <si>
    <t>Displayed marks or grades are accurate</t>
  </si>
  <si>
    <t>FAILED</t>
  </si>
  <si>
    <t>Attendance information is accurate in "Calculate my attendance" in the "services" section not in the subject summary</t>
  </si>
  <si>
    <t>Correct subject wise data is displayed</t>
  </si>
  <si>
    <t>More than one ssemister data is available</t>
  </si>
  <si>
    <t>Displayed percentages are accurate</t>
  </si>
  <si>
    <t>Handled unavailable data without errors</t>
  </si>
  <si>
    <t>Other students academic data is not accesable</t>
  </si>
  <si>
    <t>Dsiplayed correctly</t>
  </si>
  <si>
    <t>Contact information is not displayed</t>
  </si>
  <si>
    <t>Mentor page is loading without any errors</t>
  </si>
  <si>
    <t>Placeholders are placed wherever mentor info is unavailable</t>
  </si>
  <si>
    <t>Restricted mentor information is not be editable.</t>
  </si>
  <si>
    <t>Navigation to other mentor session is working correclty</t>
  </si>
  <si>
    <t>Group details are loaded correctly</t>
  </si>
  <si>
    <t>Student is associated with the correct group</t>
  </si>
  <si>
    <t>Correct class is displayed</t>
  </si>
  <si>
    <t>Restricted group fields, remained read-only.</t>
  </si>
  <si>
    <t>Placeholders placed</t>
  </si>
  <si>
    <t>Unauthorized group information is not be accessible</t>
  </si>
  <si>
    <t>Available Events are listed properly</t>
  </si>
  <si>
    <t>Event data is accurate</t>
  </si>
  <si>
    <t>Navigation between different dates is possible</t>
  </si>
  <si>
    <t>Event registration is succesful</t>
  </si>
  <si>
    <t>Student already registered message displayed</t>
  </si>
  <si>
    <t>Duplicate registration should be prevented or handled clearly</t>
  </si>
  <si>
    <t>Student should be able to register successfully</t>
  </si>
  <si>
    <t>Events should be displayed according to their dates</t>
  </si>
  <si>
    <t>Available events should be listed</t>
  </si>
  <si>
    <t>Event title, date, time and venue should be displayed correctly</t>
  </si>
  <si>
    <t>Correct event details page should open</t>
  </si>
  <si>
    <t>Registration status is displayed</t>
  </si>
  <si>
    <t>Event page loading correctly</t>
  </si>
  <si>
    <t>Document page is partially loading</t>
  </si>
  <si>
    <t>Availabble documents are displayed</t>
  </si>
  <si>
    <t>Missing required fieldsare highlighted</t>
  </si>
  <si>
    <t>Vaild request is submitted successfully</t>
  </si>
  <si>
    <t>Missing required fields are highlighted</t>
  </si>
  <si>
    <t>Submission confirmation is displayed</t>
  </si>
  <si>
    <t>Request status id displayed</t>
  </si>
  <si>
    <t>Not accessible</t>
  </si>
  <si>
    <t>Metric</t>
  </si>
  <si>
    <t>Formula</t>
  </si>
  <si>
    <t>Pass Rate</t>
  </si>
  <si>
    <t>(Passed Test Cases ÷ Executed Test Cases) × 100</t>
  </si>
  <si>
    <t>Fail Rate</t>
  </si>
  <si>
    <t>(Failed Test Cases ÷ Executed Test Cases) × 100</t>
  </si>
  <si>
    <t>Calculated Value</t>
  </si>
  <si>
    <t>COUNT of test case IDs</t>
  </si>
  <si>
    <t>Executed Test Cases</t>
  </si>
  <si>
    <t>Executed ÷ Total</t>
  </si>
  <si>
    <t>Test Execution %</t>
  </si>
  <si>
    <t>(Executed ÷ Total Test Cases) × 100</t>
  </si>
  <si>
    <t>Passed Test Cases</t>
  </si>
  <si>
    <t>COUNTIF(Status,"PASSED")</t>
  </si>
  <si>
    <t>Failed Test Cases</t>
  </si>
  <si>
    <t>COUNTIF(Status,"FAILED")</t>
  </si>
  <si>
    <t>Mean Module Pass Rate</t>
  </si>
  <si>
    <t>Sum of module pass % ÷ number of modules</t>
  </si>
  <si>
    <t>Median Module Pass Rate</t>
  </si>
  <si>
    <t>For even count, average the two middle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</si>
</sst>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2"/>
      <name val="Calibri"/>
    </font>
    <font>
      <b/>
      <sz val="12"/>
      <name val="Calibri"/>
      <family val="2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color theme="3"/>
      <name val="Aptos Narrow"/>
      <family val="2"/>
      <scheme val="minor"/>
    </font>
    <font>
      <b/>
      <sz val="12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0" fillId="0" borderId="4" xfId="0" applyFill="1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C073-18CA-4533-945B-8AF8648805D8}">
  <dimension ref="D1:X90"/>
  <sheetViews>
    <sheetView tabSelected="1" topLeftCell="F4" zoomScale="52" zoomScaleNormal="85" workbookViewId="0">
      <selection activeCell="Z25" sqref="Z25"/>
    </sheetView>
  </sheetViews>
  <sheetFormatPr defaultRowHeight="14.4" x14ac:dyDescent="0.3"/>
  <cols>
    <col min="4" max="4" width="15.6640625" customWidth="1"/>
    <col min="5" max="5" width="28.6640625" customWidth="1"/>
    <col min="6" max="6" width="27.5546875" customWidth="1"/>
    <col min="7" max="7" width="39.5546875" customWidth="1"/>
    <col min="8" max="8" width="29.77734375" customWidth="1"/>
    <col min="9" max="9" width="23.21875" customWidth="1"/>
    <col min="20" max="20" width="29.77734375" customWidth="1"/>
    <col min="21" max="21" width="18.109375" customWidth="1"/>
    <col min="22" max="22" width="20.6640625" customWidth="1"/>
    <col min="23" max="23" width="15.5546875" customWidth="1"/>
    <col min="24" max="24" width="14.6640625" customWidth="1"/>
  </cols>
  <sheetData>
    <row r="1" spans="4:24" ht="21" customHeight="1" x14ac:dyDescent="0.3"/>
    <row r="2" spans="4:24" ht="14.4" customHeight="1" x14ac:dyDescent="0.3">
      <c r="F2" s="6" t="s">
        <v>241</v>
      </c>
      <c r="G2" s="6"/>
    </row>
    <row r="3" spans="4:24" ht="18" x14ac:dyDescent="0.35">
      <c r="D3" s="15" t="s">
        <v>242</v>
      </c>
      <c r="E3" s="15"/>
      <c r="F3" s="15"/>
      <c r="G3" s="15"/>
      <c r="H3" s="15"/>
      <c r="I3" s="15"/>
    </row>
    <row r="6" spans="4:24" ht="15.6" x14ac:dyDescent="0.3">
      <c r="D6" s="7" t="s">
        <v>0</v>
      </c>
      <c r="E6" s="8"/>
      <c r="F6" s="8"/>
      <c r="G6" s="8"/>
      <c r="H6" s="8"/>
      <c r="I6" s="8"/>
    </row>
    <row r="7" spans="4:24" ht="15.6" x14ac:dyDescent="0.3">
      <c r="D7" s="12" t="s">
        <v>1</v>
      </c>
      <c r="E7" s="12" t="s">
        <v>2</v>
      </c>
      <c r="F7" s="12" t="s">
        <v>257</v>
      </c>
      <c r="G7" s="12" t="s">
        <v>4</v>
      </c>
      <c r="H7" s="12" t="s">
        <v>5</v>
      </c>
      <c r="I7" s="12" t="s">
        <v>6</v>
      </c>
      <c r="T7" s="11" t="s">
        <v>234</v>
      </c>
      <c r="U7" s="10"/>
      <c r="V7" s="10"/>
      <c r="W7" s="10"/>
      <c r="X7" s="10"/>
    </row>
    <row r="8" spans="4:24" ht="28.8" x14ac:dyDescent="0.3">
      <c r="D8" s="1" t="s">
        <v>7</v>
      </c>
      <c r="E8" s="1" t="s">
        <v>8</v>
      </c>
      <c r="F8" s="1" t="s">
        <v>9</v>
      </c>
      <c r="G8" s="1" t="s">
        <v>246</v>
      </c>
      <c r="H8" s="1" t="s">
        <v>243</v>
      </c>
      <c r="I8" s="14" t="s">
        <v>244</v>
      </c>
      <c r="T8" s="26" t="s">
        <v>235</v>
      </c>
      <c r="U8" s="26" t="s">
        <v>236</v>
      </c>
      <c r="V8" s="26" t="s">
        <v>237</v>
      </c>
      <c r="W8" s="26" t="s">
        <v>238</v>
      </c>
      <c r="X8" s="26" t="s">
        <v>239</v>
      </c>
    </row>
    <row r="9" spans="4:24" ht="28.8" x14ac:dyDescent="0.3">
      <c r="D9" s="1" t="s">
        <v>10</v>
      </c>
      <c r="E9" s="1" t="s">
        <v>11</v>
      </c>
      <c r="F9" s="1" t="s">
        <v>12</v>
      </c>
      <c r="G9" s="1" t="s">
        <v>247</v>
      </c>
      <c r="H9" s="1" t="s">
        <v>245</v>
      </c>
      <c r="I9" s="14" t="s">
        <v>244</v>
      </c>
      <c r="T9" s="2" t="s">
        <v>0</v>
      </c>
      <c r="U9" s="2">
        <f>COUNTA(D8:D15)</f>
        <v>8</v>
      </c>
      <c r="V9" s="2">
        <f>COUNTIF(I8:I15,"PASSED")</f>
        <v>8</v>
      </c>
      <c r="W9" s="2">
        <f>COUNTIF(I8:I15,"FAILED")</f>
        <v>0</v>
      </c>
      <c r="X9" s="3">
        <f t="shared" ref="X9:X17" si="0">IF(U9=0,0,V9/U9)</f>
        <v>1</v>
      </c>
    </row>
    <row r="10" spans="4:24" ht="28.8" x14ac:dyDescent="0.3">
      <c r="D10" s="1" t="s">
        <v>13</v>
      </c>
      <c r="E10" s="1" t="s">
        <v>14</v>
      </c>
      <c r="F10" s="1" t="s">
        <v>15</v>
      </c>
      <c r="G10" s="1" t="s">
        <v>247</v>
      </c>
      <c r="H10" s="1" t="s">
        <v>245</v>
      </c>
      <c r="I10" s="14" t="s">
        <v>244</v>
      </c>
      <c r="T10" s="2" t="s">
        <v>31</v>
      </c>
      <c r="U10" s="2">
        <f>COUNTA(D19:D26)</f>
        <v>8</v>
      </c>
      <c r="V10" s="2">
        <f>COUNTIF(I19:I26,"PASSED")</f>
        <v>8</v>
      </c>
      <c r="W10" s="2">
        <f>COUNTIF(I19:I26,"FAILED")</f>
        <v>0</v>
      </c>
      <c r="X10" s="3">
        <f t="shared" si="0"/>
        <v>1</v>
      </c>
    </row>
    <row r="11" spans="4:24" ht="28.8" x14ac:dyDescent="0.3">
      <c r="D11" s="1" t="s">
        <v>16</v>
      </c>
      <c r="E11" s="1" t="s">
        <v>17</v>
      </c>
      <c r="F11" s="1" t="s">
        <v>18</v>
      </c>
      <c r="G11" s="1" t="s">
        <v>252</v>
      </c>
      <c r="H11" s="1" t="s">
        <v>245</v>
      </c>
      <c r="I11" s="14" t="s">
        <v>244</v>
      </c>
      <c r="T11" s="2" t="s">
        <v>64</v>
      </c>
      <c r="U11" s="2">
        <f>COUNTA(D30:D37)</f>
        <v>8</v>
      </c>
      <c r="V11" s="2">
        <f>COUNTIF(I30:I37,"PASSED")</f>
        <v>8</v>
      </c>
      <c r="W11" s="2">
        <f>COUNTIF(I30:I37,"FAILED")</f>
        <v>0</v>
      </c>
      <c r="X11" s="3">
        <f t="shared" si="0"/>
        <v>1</v>
      </c>
    </row>
    <row r="12" spans="4:24" ht="28.8" x14ac:dyDescent="0.3">
      <c r="D12" s="1" t="s">
        <v>19</v>
      </c>
      <c r="E12" s="1" t="s">
        <v>20</v>
      </c>
      <c r="F12" s="1" t="s">
        <v>21</v>
      </c>
      <c r="G12" s="1" t="s">
        <v>251</v>
      </c>
      <c r="H12" s="1" t="s">
        <v>248</v>
      </c>
      <c r="I12" s="14" t="s">
        <v>244</v>
      </c>
      <c r="T12" s="2" t="s">
        <v>94</v>
      </c>
      <c r="U12" s="2">
        <f>COUNTA(D41:D48)</f>
        <v>8</v>
      </c>
      <c r="V12" s="2">
        <f>COUNTIF(I41:I48,"PASSED")</f>
        <v>7</v>
      </c>
      <c r="W12" s="2">
        <f>COUNTIF(I41:I48,"FAILED")</f>
        <v>1</v>
      </c>
      <c r="X12" s="3">
        <f t="shared" si="0"/>
        <v>0.875</v>
      </c>
    </row>
    <row r="13" spans="4:24" x14ac:dyDescent="0.3">
      <c r="D13" s="1" t="s">
        <v>22</v>
      </c>
      <c r="E13" s="1" t="s">
        <v>23</v>
      </c>
      <c r="F13" s="1" t="s">
        <v>24</v>
      </c>
      <c r="G13" s="1" t="s">
        <v>253</v>
      </c>
      <c r="H13" s="1" t="s">
        <v>249</v>
      </c>
      <c r="I13" s="14" t="s">
        <v>244</v>
      </c>
      <c r="T13" s="2" t="s">
        <v>125</v>
      </c>
      <c r="U13" s="2">
        <f>COUNTA(D52:D58)</f>
        <v>7</v>
      </c>
      <c r="V13" s="2">
        <f>COUNTIF(I52:I58,"PASSED")</f>
        <v>6</v>
      </c>
      <c r="W13" s="2">
        <f>COUNTIF(I52:I58,"FAILED")</f>
        <v>1</v>
      </c>
      <c r="X13" s="3">
        <f t="shared" si="0"/>
        <v>0.8571428571428571</v>
      </c>
    </row>
    <row r="14" spans="4:24" ht="28.8" x14ac:dyDescent="0.3">
      <c r="D14" s="1" t="s">
        <v>25</v>
      </c>
      <c r="E14" s="1" t="s">
        <v>26</v>
      </c>
      <c r="F14" s="1" t="s">
        <v>27</v>
      </c>
      <c r="G14" s="1" t="s">
        <v>250</v>
      </c>
      <c r="H14" s="1" t="s">
        <v>255</v>
      </c>
      <c r="I14" s="14" t="s">
        <v>244</v>
      </c>
      <c r="T14" s="2" t="s">
        <v>151</v>
      </c>
      <c r="U14" s="2">
        <f>COUNTA(D62:D68)</f>
        <v>7</v>
      </c>
      <c r="V14" s="2">
        <f>COUNTIF(I62:I68,"PASSED")</f>
        <v>7</v>
      </c>
      <c r="W14" s="2">
        <f>COUNTIF(I62:I68,"FAILED")</f>
        <v>0</v>
      </c>
      <c r="X14" s="3">
        <f t="shared" si="0"/>
        <v>1</v>
      </c>
    </row>
    <row r="15" spans="4:24" ht="28.8" x14ac:dyDescent="0.3">
      <c r="D15" s="1" t="s">
        <v>28</v>
      </c>
      <c r="E15" s="1" t="s">
        <v>29</v>
      </c>
      <c r="F15" s="1" t="s">
        <v>30</v>
      </c>
      <c r="G15" s="1" t="s">
        <v>254</v>
      </c>
      <c r="H15" s="1" t="s">
        <v>256</v>
      </c>
      <c r="I15" s="14" t="s">
        <v>244</v>
      </c>
      <c r="T15" s="2" t="s">
        <v>177</v>
      </c>
      <c r="U15" s="2">
        <f>COUNTA(D72:D79)</f>
        <v>8</v>
      </c>
      <c r="V15" s="2">
        <f>COUNTIF(I72:I79,"PASSED")</f>
        <v>8</v>
      </c>
      <c r="W15" s="2">
        <f>COUNTIF(I72:I79,"FAILED")</f>
        <v>0</v>
      </c>
      <c r="X15" s="3">
        <f t="shared" si="0"/>
        <v>1</v>
      </c>
    </row>
    <row r="16" spans="4:24" ht="28.8" x14ac:dyDescent="0.3">
      <c r="T16" s="2" t="s">
        <v>203</v>
      </c>
      <c r="U16" s="2">
        <f>COUNTA(D83:D90)</f>
        <v>8</v>
      </c>
      <c r="V16" s="2">
        <f>COUNTIF(I83:I90,"PASSED")</f>
        <v>7</v>
      </c>
      <c r="W16" s="2">
        <f>COUNTIF(I83:I90,"FAILED")</f>
        <v>1</v>
      </c>
      <c r="X16" s="3">
        <f t="shared" si="0"/>
        <v>0.875</v>
      </c>
    </row>
    <row r="17" spans="4:24" x14ac:dyDescent="0.3">
      <c r="D17" s="9" t="s">
        <v>31</v>
      </c>
      <c r="E17" s="10"/>
      <c r="F17" s="10"/>
      <c r="G17" s="10"/>
      <c r="H17" s="10"/>
      <c r="I17" s="10"/>
      <c r="T17" s="4" t="s">
        <v>240</v>
      </c>
      <c r="U17" s="4">
        <f>SUM(U9:U16)</f>
        <v>62</v>
      </c>
      <c r="V17" s="4">
        <f>SUM(V9:V16)</f>
        <v>59</v>
      </c>
      <c r="W17" s="4">
        <f>SUM(W9:W16)</f>
        <v>3</v>
      </c>
      <c r="X17" s="5">
        <f t="shared" si="0"/>
        <v>0.95161290322580649</v>
      </c>
    </row>
    <row r="18" spans="4:24" x14ac:dyDescent="0.3">
      <c r="D18" s="12" t="s">
        <v>1</v>
      </c>
      <c r="E18" s="12" t="s">
        <v>2</v>
      </c>
      <c r="F18" s="12" t="s">
        <v>257</v>
      </c>
      <c r="G18" s="13" t="s">
        <v>4</v>
      </c>
      <c r="H18" s="12" t="s">
        <v>5</v>
      </c>
      <c r="I18" s="12" t="s">
        <v>6</v>
      </c>
    </row>
    <row r="19" spans="4:24" ht="28.8" x14ac:dyDescent="0.3">
      <c r="D19" s="1" t="s">
        <v>32</v>
      </c>
      <c r="E19" s="1" t="s">
        <v>33</v>
      </c>
      <c r="F19" s="1" t="s">
        <v>34</v>
      </c>
      <c r="G19" s="1" t="s">
        <v>35</v>
      </c>
      <c r="H19" s="1" t="s">
        <v>258</v>
      </c>
      <c r="I19" s="14" t="s">
        <v>244</v>
      </c>
    </row>
    <row r="20" spans="4:24" x14ac:dyDescent="0.3">
      <c r="D20" s="1" t="s">
        <v>36</v>
      </c>
      <c r="E20" s="1" t="s">
        <v>37</v>
      </c>
      <c r="F20" s="1" t="s">
        <v>38</v>
      </c>
      <c r="G20" s="1" t="s">
        <v>39</v>
      </c>
      <c r="H20" s="1" t="s">
        <v>259</v>
      </c>
      <c r="I20" s="14" t="s">
        <v>244</v>
      </c>
    </row>
    <row r="21" spans="4:24" ht="28.8" x14ac:dyDescent="0.3">
      <c r="D21" s="1" t="s">
        <v>40</v>
      </c>
      <c r="E21" s="1" t="s">
        <v>41</v>
      </c>
      <c r="F21" s="1" t="s">
        <v>42</v>
      </c>
      <c r="G21" s="1" t="s">
        <v>43</v>
      </c>
      <c r="H21" s="1" t="s">
        <v>260</v>
      </c>
      <c r="I21" s="14" t="s">
        <v>244</v>
      </c>
      <c r="T21" s="23" t="s">
        <v>317</v>
      </c>
      <c r="U21" s="23" t="s">
        <v>323</v>
      </c>
      <c r="V21" s="24" t="s">
        <v>318</v>
      </c>
      <c r="W21" s="25"/>
    </row>
    <row r="22" spans="4:24" ht="43.2" customHeight="1" x14ac:dyDescent="0.3">
      <c r="D22" s="1" t="s">
        <v>44</v>
      </c>
      <c r="E22" s="1" t="s">
        <v>45</v>
      </c>
      <c r="F22" s="1" t="s">
        <v>46</v>
      </c>
      <c r="G22" s="1" t="s">
        <v>47</v>
      </c>
      <c r="H22" s="1" t="s">
        <v>261</v>
      </c>
      <c r="I22" s="14" t="s">
        <v>244</v>
      </c>
      <c r="T22" s="19" t="s">
        <v>236</v>
      </c>
      <c r="U22" s="19">
        <v>62</v>
      </c>
      <c r="V22" s="17" t="s">
        <v>324</v>
      </c>
      <c r="W22" s="18"/>
    </row>
    <row r="23" spans="4:24" ht="43.2" customHeight="1" x14ac:dyDescent="0.3">
      <c r="D23" s="1" t="s">
        <v>48</v>
      </c>
      <c r="E23" s="1" t="s">
        <v>49</v>
      </c>
      <c r="F23" s="1" t="s">
        <v>50</v>
      </c>
      <c r="G23" s="1" t="s">
        <v>51</v>
      </c>
      <c r="H23" s="1" t="s">
        <v>262</v>
      </c>
      <c r="I23" s="14" t="s">
        <v>244</v>
      </c>
      <c r="T23" s="19" t="s">
        <v>325</v>
      </c>
      <c r="U23" s="19">
        <v>62</v>
      </c>
      <c r="V23" s="17" t="s">
        <v>326</v>
      </c>
      <c r="W23" s="18"/>
    </row>
    <row r="24" spans="4:24" ht="43.2" customHeight="1" x14ac:dyDescent="0.3">
      <c r="D24" s="1" t="s">
        <v>52</v>
      </c>
      <c r="E24" s="1" t="s">
        <v>53</v>
      </c>
      <c r="F24" s="1" t="s">
        <v>54</v>
      </c>
      <c r="G24" s="1" t="s">
        <v>55</v>
      </c>
      <c r="H24" s="1" t="s">
        <v>263</v>
      </c>
      <c r="I24" s="14" t="s">
        <v>244</v>
      </c>
      <c r="T24" s="19" t="s">
        <v>327</v>
      </c>
      <c r="U24" s="20">
        <v>1</v>
      </c>
      <c r="V24" s="17" t="s">
        <v>328</v>
      </c>
      <c r="W24" s="18"/>
    </row>
    <row r="25" spans="4:24" ht="43.2" customHeight="1" x14ac:dyDescent="0.3">
      <c r="D25" s="1" t="s">
        <v>56</v>
      </c>
      <c r="E25" s="1" t="s">
        <v>57</v>
      </c>
      <c r="F25" s="1" t="s">
        <v>58</v>
      </c>
      <c r="G25" s="1" t="s">
        <v>59</v>
      </c>
      <c r="H25" s="1" t="s">
        <v>264</v>
      </c>
      <c r="I25" s="14" t="s">
        <v>244</v>
      </c>
      <c r="T25" s="19" t="s">
        <v>329</v>
      </c>
      <c r="U25" s="19">
        <v>59</v>
      </c>
      <c r="V25" s="17" t="s">
        <v>330</v>
      </c>
      <c r="W25" s="18"/>
    </row>
    <row r="26" spans="4:24" ht="28.8" x14ac:dyDescent="0.3">
      <c r="D26" s="1" t="s">
        <v>60</v>
      </c>
      <c r="E26" s="1" t="s">
        <v>61</v>
      </c>
      <c r="F26" s="1" t="s">
        <v>62</v>
      </c>
      <c r="G26" s="1" t="s">
        <v>63</v>
      </c>
      <c r="H26" s="1" t="s">
        <v>265</v>
      </c>
      <c r="I26" s="14" t="s">
        <v>244</v>
      </c>
      <c r="T26" s="19" t="s">
        <v>331</v>
      </c>
      <c r="U26" s="19">
        <v>3</v>
      </c>
      <c r="V26" s="17" t="s">
        <v>332</v>
      </c>
      <c r="W26" s="18"/>
    </row>
    <row r="27" spans="4:24" ht="28.8" customHeight="1" x14ac:dyDescent="0.3">
      <c r="T27" s="19" t="s">
        <v>319</v>
      </c>
      <c r="U27" s="20">
        <v>0.95161290322580649</v>
      </c>
      <c r="V27" s="17" t="s">
        <v>320</v>
      </c>
      <c r="W27" s="18"/>
    </row>
    <row r="28" spans="4:24" ht="28.8" customHeight="1" x14ac:dyDescent="0.3">
      <c r="D28" s="9" t="s">
        <v>64</v>
      </c>
      <c r="E28" s="10"/>
      <c r="F28" s="10"/>
      <c r="G28" s="10"/>
      <c r="H28" s="10"/>
      <c r="I28" s="10"/>
      <c r="T28" s="19" t="s">
        <v>321</v>
      </c>
      <c r="U28" s="20">
        <v>4.8387096774193547E-2</v>
      </c>
      <c r="V28" s="17" t="s">
        <v>322</v>
      </c>
      <c r="W28" s="18"/>
    </row>
    <row r="29" spans="4:24" ht="28.8" customHeight="1" x14ac:dyDescent="0.3">
      <c r="D29" s="12" t="s">
        <v>1</v>
      </c>
      <c r="E29" s="12" t="s">
        <v>2</v>
      </c>
      <c r="F29" s="12" t="s">
        <v>257</v>
      </c>
      <c r="G29" s="13" t="s">
        <v>4</v>
      </c>
      <c r="H29" s="12" t="s">
        <v>5</v>
      </c>
      <c r="I29" s="12" t="s">
        <v>6</v>
      </c>
      <c r="T29" s="19" t="s">
        <v>333</v>
      </c>
      <c r="U29" s="20">
        <v>0.9508928571428571</v>
      </c>
      <c r="V29" s="17" t="s">
        <v>334</v>
      </c>
      <c r="W29" s="18"/>
    </row>
    <row r="30" spans="4:24" ht="28.8" customHeight="1" x14ac:dyDescent="0.3">
      <c r="D30" s="1" t="s">
        <v>65</v>
      </c>
      <c r="E30" s="1" t="s">
        <v>66</v>
      </c>
      <c r="F30" s="1" t="s">
        <v>67</v>
      </c>
      <c r="G30" s="1" t="s">
        <v>68</v>
      </c>
      <c r="H30" s="1" t="s">
        <v>268</v>
      </c>
      <c r="I30" s="14" t="s">
        <v>244</v>
      </c>
      <c r="T30" s="19" t="s">
        <v>335</v>
      </c>
      <c r="U30" s="20">
        <v>1</v>
      </c>
      <c r="V30" s="21" t="s">
        <v>336</v>
      </c>
      <c r="W30" s="22"/>
    </row>
    <row r="31" spans="4:24" x14ac:dyDescent="0.3">
      <c r="D31" s="1" t="s">
        <v>69</v>
      </c>
      <c r="E31" s="1" t="s">
        <v>70</v>
      </c>
      <c r="F31" s="1" t="s">
        <v>67</v>
      </c>
      <c r="G31" s="1" t="s">
        <v>266</v>
      </c>
      <c r="H31" s="1" t="s">
        <v>267</v>
      </c>
      <c r="I31" s="14" t="s">
        <v>244</v>
      </c>
    </row>
    <row r="32" spans="4:24" ht="28.8" x14ac:dyDescent="0.3">
      <c r="D32" s="1" t="s">
        <v>71</v>
      </c>
      <c r="E32" s="1" t="s">
        <v>72</v>
      </c>
      <c r="F32" s="1" t="s">
        <v>73</v>
      </c>
      <c r="G32" s="1" t="s">
        <v>74</v>
      </c>
      <c r="H32" s="1" t="s">
        <v>269</v>
      </c>
      <c r="I32" s="14" t="s">
        <v>244</v>
      </c>
    </row>
    <row r="33" spans="4:9" ht="28.8" x14ac:dyDescent="0.3">
      <c r="D33" s="1" t="s">
        <v>75</v>
      </c>
      <c r="E33" s="1" t="s">
        <v>76</v>
      </c>
      <c r="F33" s="1" t="s">
        <v>77</v>
      </c>
      <c r="G33" s="1" t="s">
        <v>78</v>
      </c>
      <c r="H33" s="1" t="s">
        <v>270</v>
      </c>
      <c r="I33" s="14" t="s">
        <v>244</v>
      </c>
    </row>
    <row r="34" spans="4:9" ht="28.8" x14ac:dyDescent="0.3">
      <c r="D34" s="1" t="s">
        <v>79</v>
      </c>
      <c r="E34" s="1" t="s">
        <v>80</v>
      </c>
      <c r="F34" s="1" t="s">
        <v>81</v>
      </c>
      <c r="G34" s="1" t="s">
        <v>82</v>
      </c>
      <c r="H34" s="1" t="s">
        <v>271</v>
      </c>
      <c r="I34" s="14" t="s">
        <v>244</v>
      </c>
    </row>
    <row r="35" spans="4:9" ht="28.8" x14ac:dyDescent="0.3">
      <c r="D35" s="1" t="s">
        <v>83</v>
      </c>
      <c r="E35" s="1" t="s">
        <v>84</v>
      </c>
      <c r="F35" s="1" t="s">
        <v>85</v>
      </c>
      <c r="G35" s="1" t="s">
        <v>86</v>
      </c>
      <c r="H35" s="1" t="s">
        <v>272</v>
      </c>
      <c r="I35" s="14" t="s">
        <v>244</v>
      </c>
    </row>
    <row r="36" spans="4:9" ht="28.8" x14ac:dyDescent="0.3">
      <c r="D36" s="1" t="s">
        <v>87</v>
      </c>
      <c r="E36" s="1" t="s">
        <v>88</v>
      </c>
      <c r="F36" s="1" t="s">
        <v>81</v>
      </c>
      <c r="G36" s="1" t="s">
        <v>89</v>
      </c>
      <c r="H36" s="1" t="s">
        <v>273</v>
      </c>
      <c r="I36" s="14" t="s">
        <v>244</v>
      </c>
    </row>
    <row r="37" spans="4:9" x14ac:dyDescent="0.3">
      <c r="D37" s="1" t="s">
        <v>90</v>
      </c>
      <c r="E37" s="1" t="s">
        <v>91</v>
      </c>
      <c r="F37" s="1" t="s">
        <v>92</v>
      </c>
      <c r="G37" s="1" t="s">
        <v>93</v>
      </c>
      <c r="H37" s="1" t="s">
        <v>274</v>
      </c>
      <c r="I37" s="14" t="s">
        <v>244</v>
      </c>
    </row>
    <row r="39" spans="4:9" x14ac:dyDescent="0.3">
      <c r="D39" s="9" t="s">
        <v>94</v>
      </c>
      <c r="E39" s="10"/>
      <c r="F39" s="10"/>
      <c r="G39" s="10"/>
      <c r="H39" s="10"/>
      <c r="I39" s="10"/>
    </row>
    <row r="40" spans="4:9" x14ac:dyDescent="0.3">
      <c r="D40" s="12" t="s">
        <v>1</v>
      </c>
      <c r="E40" s="12" t="s">
        <v>2</v>
      </c>
      <c r="F40" s="12" t="s">
        <v>257</v>
      </c>
      <c r="G40" s="12" t="s">
        <v>4</v>
      </c>
      <c r="H40" s="13" t="s">
        <v>5</v>
      </c>
      <c r="I40" s="12" t="s">
        <v>6</v>
      </c>
    </row>
    <row r="41" spans="4:9" ht="28.8" x14ac:dyDescent="0.3">
      <c r="D41" s="1" t="s">
        <v>95</v>
      </c>
      <c r="E41" s="1" t="s">
        <v>96</v>
      </c>
      <c r="F41" s="1" t="s">
        <v>38</v>
      </c>
      <c r="G41" s="1" t="s">
        <v>97</v>
      </c>
      <c r="H41" s="1" t="s">
        <v>275</v>
      </c>
      <c r="I41" s="14" t="s">
        <v>244</v>
      </c>
    </row>
    <row r="42" spans="4:9" ht="28.8" x14ac:dyDescent="0.3">
      <c r="D42" s="1" t="s">
        <v>98</v>
      </c>
      <c r="E42" s="1" t="s">
        <v>99</v>
      </c>
      <c r="F42" s="1" t="s">
        <v>100</v>
      </c>
      <c r="G42" s="1" t="s">
        <v>101</v>
      </c>
      <c r="H42" s="1" t="s">
        <v>276</v>
      </c>
      <c r="I42" s="14" t="s">
        <v>244</v>
      </c>
    </row>
    <row r="43" spans="4:9" ht="57.6" x14ac:dyDescent="0.3">
      <c r="D43" s="1" t="s">
        <v>102</v>
      </c>
      <c r="E43" s="1" t="s">
        <v>103</v>
      </c>
      <c r="F43" s="1" t="s">
        <v>104</v>
      </c>
      <c r="G43" s="1" t="s">
        <v>105</v>
      </c>
      <c r="H43" s="1" t="s">
        <v>278</v>
      </c>
      <c r="I43" s="14" t="s">
        <v>277</v>
      </c>
    </row>
    <row r="44" spans="4:9" ht="28.8" x14ac:dyDescent="0.3">
      <c r="D44" s="1" t="s">
        <v>106</v>
      </c>
      <c r="E44" s="1" t="s">
        <v>107</v>
      </c>
      <c r="F44" s="1" t="s">
        <v>108</v>
      </c>
      <c r="G44" s="1" t="s">
        <v>109</v>
      </c>
      <c r="H44" s="1" t="s">
        <v>279</v>
      </c>
      <c r="I44" s="14" t="s">
        <v>244</v>
      </c>
    </row>
    <row r="45" spans="4:9" ht="28.8" x14ac:dyDescent="0.3">
      <c r="D45" s="1" t="s">
        <v>110</v>
      </c>
      <c r="E45" s="1" t="s">
        <v>111</v>
      </c>
      <c r="F45" s="1" t="s">
        <v>112</v>
      </c>
      <c r="G45" s="1" t="s">
        <v>113</v>
      </c>
      <c r="H45" s="1" t="s">
        <v>280</v>
      </c>
      <c r="I45" s="14" t="s">
        <v>244</v>
      </c>
    </row>
    <row r="46" spans="4:9" ht="28.8" x14ac:dyDescent="0.3">
      <c r="D46" s="1" t="s">
        <v>114</v>
      </c>
      <c r="E46" s="1" t="s">
        <v>115</v>
      </c>
      <c r="F46" s="1" t="s">
        <v>116</v>
      </c>
      <c r="G46" s="1" t="s">
        <v>117</v>
      </c>
      <c r="H46" s="1" t="s">
        <v>281</v>
      </c>
      <c r="I46" s="14" t="s">
        <v>244</v>
      </c>
    </row>
    <row r="47" spans="4:9" ht="28.8" x14ac:dyDescent="0.3">
      <c r="D47" s="1" t="s">
        <v>118</v>
      </c>
      <c r="E47" s="1" t="s">
        <v>119</v>
      </c>
      <c r="F47" s="1" t="s">
        <v>120</v>
      </c>
      <c r="G47" s="1" t="s">
        <v>121</v>
      </c>
      <c r="H47" s="1" t="s">
        <v>282</v>
      </c>
      <c r="I47" s="14" t="s">
        <v>244</v>
      </c>
    </row>
    <row r="48" spans="4:9" ht="28.8" x14ac:dyDescent="0.3">
      <c r="D48" s="1" t="s">
        <v>122</v>
      </c>
      <c r="E48" s="1" t="s">
        <v>123</v>
      </c>
      <c r="F48" s="1" t="s">
        <v>38</v>
      </c>
      <c r="G48" s="1" t="s">
        <v>124</v>
      </c>
      <c r="H48" s="1" t="s">
        <v>283</v>
      </c>
      <c r="I48" s="14" t="s">
        <v>244</v>
      </c>
    </row>
    <row r="50" spans="4:9" x14ac:dyDescent="0.3">
      <c r="D50" s="9" t="s">
        <v>125</v>
      </c>
      <c r="E50" s="10"/>
      <c r="F50" s="10"/>
      <c r="G50" s="10"/>
      <c r="H50" s="10"/>
      <c r="I50" s="10"/>
    </row>
    <row r="51" spans="4:9" x14ac:dyDescent="0.3">
      <c r="D51" s="12" t="s">
        <v>1</v>
      </c>
      <c r="E51" s="13" t="s">
        <v>2</v>
      </c>
      <c r="F51" s="12" t="s">
        <v>257</v>
      </c>
      <c r="G51" s="12" t="s">
        <v>4</v>
      </c>
      <c r="H51" s="12" t="s">
        <v>5</v>
      </c>
      <c r="I51" s="12" t="s">
        <v>6</v>
      </c>
    </row>
    <row r="52" spans="4:9" x14ac:dyDescent="0.3">
      <c r="D52" s="1" t="s">
        <v>126</v>
      </c>
      <c r="E52" s="1" t="s">
        <v>127</v>
      </c>
      <c r="F52" s="1" t="s">
        <v>38</v>
      </c>
      <c r="G52" s="1" t="s">
        <v>128</v>
      </c>
      <c r="H52" s="1" t="s">
        <v>284</v>
      </c>
      <c r="I52" s="14" t="s">
        <v>244</v>
      </c>
    </row>
    <row r="53" spans="4:9" ht="28.8" x14ac:dyDescent="0.3">
      <c r="D53" s="1" t="s">
        <v>129</v>
      </c>
      <c r="E53" s="1" t="s">
        <v>130</v>
      </c>
      <c r="F53" s="1" t="s">
        <v>131</v>
      </c>
      <c r="G53" s="1" t="s">
        <v>132</v>
      </c>
      <c r="H53" s="1" t="s">
        <v>131</v>
      </c>
      <c r="I53" s="14" t="s">
        <v>244</v>
      </c>
    </row>
    <row r="54" spans="4:9" ht="28.8" x14ac:dyDescent="0.3">
      <c r="D54" s="1" t="s">
        <v>133</v>
      </c>
      <c r="E54" s="1" t="s">
        <v>134</v>
      </c>
      <c r="F54" s="1" t="s">
        <v>135</v>
      </c>
      <c r="G54" s="1" t="s">
        <v>136</v>
      </c>
      <c r="H54" s="1" t="s">
        <v>285</v>
      </c>
      <c r="I54" s="14" t="s">
        <v>277</v>
      </c>
    </row>
    <row r="55" spans="4:9" ht="28.8" x14ac:dyDescent="0.3">
      <c r="D55" s="1" t="s">
        <v>137</v>
      </c>
      <c r="E55" s="1" t="s">
        <v>138</v>
      </c>
      <c r="F55" s="1" t="s">
        <v>38</v>
      </c>
      <c r="G55" s="1" t="s">
        <v>139</v>
      </c>
      <c r="H55" s="1" t="s">
        <v>286</v>
      </c>
      <c r="I55" s="14" t="s">
        <v>244</v>
      </c>
    </row>
    <row r="56" spans="4:9" ht="28.8" x14ac:dyDescent="0.3">
      <c r="D56" s="1" t="s">
        <v>140</v>
      </c>
      <c r="E56" s="1" t="s">
        <v>141</v>
      </c>
      <c r="F56" s="1" t="s">
        <v>142</v>
      </c>
      <c r="G56" s="1" t="s">
        <v>143</v>
      </c>
      <c r="H56" s="1" t="s">
        <v>287</v>
      </c>
      <c r="I56" s="14" t="s">
        <v>244</v>
      </c>
    </row>
    <row r="57" spans="4:9" ht="28.8" x14ac:dyDescent="0.3">
      <c r="D57" s="1" t="s">
        <v>144</v>
      </c>
      <c r="E57" s="1" t="s">
        <v>145</v>
      </c>
      <c r="F57" s="1" t="s">
        <v>38</v>
      </c>
      <c r="G57" s="1" t="s">
        <v>146</v>
      </c>
      <c r="H57" s="1" t="s">
        <v>288</v>
      </c>
      <c r="I57" s="14" t="s">
        <v>244</v>
      </c>
    </row>
    <row r="58" spans="4:9" ht="28.8" x14ac:dyDescent="0.3">
      <c r="D58" s="1" t="s">
        <v>147</v>
      </c>
      <c r="E58" s="1" t="s">
        <v>148</v>
      </c>
      <c r="F58" s="1" t="s">
        <v>149</v>
      </c>
      <c r="G58" s="1" t="s">
        <v>150</v>
      </c>
      <c r="H58" s="1" t="s">
        <v>289</v>
      </c>
      <c r="I58" s="14" t="s">
        <v>244</v>
      </c>
    </row>
    <row r="60" spans="4:9" x14ac:dyDescent="0.3">
      <c r="D60" s="9" t="s">
        <v>151</v>
      </c>
      <c r="E60" s="10"/>
      <c r="F60" s="10"/>
      <c r="G60" s="10"/>
      <c r="H60" s="10"/>
      <c r="I60" s="10"/>
    </row>
    <row r="61" spans="4:9" x14ac:dyDescent="0.3">
      <c r="D61" s="12" t="s">
        <v>1</v>
      </c>
      <c r="E61" s="13" t="s">
        <v>2</v>
      </c>
      <c r="F61" s="12" t="s">
        <v>3</v>
      </c>
      <c r="G61" s="12" t="s">
        <v>4</v>
      </c>
      <c r="H61" s="12" t="s">
        <v>5</v>
      </c>
      <c r="I61" s="12" t="s">
        <v>6</v>
      </c>
    </row>
    <row r="62" spans="4:9" x14ac:dyDescent="0.3">
      <c r="D62" s="1" t="s">
        <v>152</v>
      </c>
      <c r="E62" s="1" t="s">
        <v>153</v>
      </c>
      <c r="F62" s="1" t="s">
        <v>38</v>
      </c>
      <c r="G62" s="1" t="s">
        <v>154</v>
      </c>
      <c r="H62" s="1" t="s">
        <v>292</v>
      </c>
      <c r="I62" s="14" t="s">
        <v>244</v>
      </c>
    </row>
    <row r="63" spans="4:9" ht="28.8" x14ac:dyDescent="0.3">
      <c r="D63" s="1" t="s">
        <v>155</v>
      </c>
      <c r="E63" s="1" t="s">
        <v>156</v>
      </c>
      <c r="F63" s="1" t="s">
        <v>157</v>
      </c>
      <c r="G63" s="1" t="s">
        <v>158</v>
      </c>
      <c r="H63" s="1" t="s">
        <v>291</v>
      </c>
      <c r="I63" s="14" t="s">
        <v>244</v>
      </c>
    </row>
    <row r="64" spans="4:9" x14ac:dyDescent="0.3">
      <c r="D64" s="1" t="s">
        <v>159</v>
      </c>
      <c r="E64" s="1" t="s">
        <v>160</v>
      </c>
      <c r="F64" s="1" t="s">
        <v>161</v>
      </c>
      <c r="G64" s="1" t="s">
        <v>162</v>
      </c>
      <c r="H64" s="1" t="s">
        <v>290</v>
      </c>
      <c r="I64" s="14" t="s">
        <v>244</v>
      </c>
    </row>
    <row r="65" spans="4:9" ht="28.8" x14ac:dyDescent="0.3">
      <c r="D65" s="1" t="s">
        <v>163</v>
      </c>
      <c r="E65" s="1" t="s">
        <v>164</v>
      </c>
      <c r="F65" s="1" t="s">
        <v>165</v>
      </c>
      <c r="G65" s="1" t="s">
        <v>166</v>
      </c>
      <c r="H65" s="1" t="s">
        <v>166</v>
      </c>
      <c r="I65" s="14" t="s">
        <v>244</v>
      </c>
    </row>
    <row r="66" spans="4:9" ht="28.8" x14ac:dyDescent="0.3">
      <c r="D66" s="1" t="s">
        <v>167</v>
      </c>
      <c r="E66" s="1" t="s">
        <v>168</v>
      </c>
      <c r="F66" s="1" t="s">
        <v>169</v>
      </c>
      <c r="G66" s="1" t="s">
        <v>170</v>
      </c>
      <c r="H66" s="1" t="s">
        <v>293</v>
      </c>
      <c r="I66" s="14" t="s">
        <v>244</v>
      </c>
    </row>
    <row r="67" spans="4:9" x14ac:dyDescent="0.3">
      <c r="D67" s="1" t="s">
        <v>171</v>
      </c>
      <c r="E67" s="1" t="s">
        <v>172</v>
      </c>
      <c r="F67" s="1" t="s">
        <v>173</v>
      </c>
      <c r="G67" s="1" t="s">
        <v>143</v>
      </c>
      <c r="H67" s="1" t="s">
        <v>294</v>
      </c>
      <c r="I67" s="14" t="s">
        <v>244</v>
      </c>
    </row>
    <row r="68" spans="4:9" ht="28.8" x14ac:dyDescent="0.3">
      <c r="D68" s="1" t="s">
        <v>174</v>
      </c>
      <c r="E68" s="1" t="s">
        <v>175</v>
      </c>
      <c r="F68" s="1" t="s">
        <v>38</v>
      </c>
      <c r="G68" s="1" t="s">
        <v>176</v>
      </c>
      <c r="H68" s="1" t="s">
        <v>295</v>
      </c>
      <c r="I68" s="14" t="s">
        <v>244</v>
      </c>
    </row>
    <row r="70" spans="4:9" x14ac:dyDescent="0.3">
      <c r="D70" s="9" t="s">
        <v>177</v>
      </c>
      <c r="E70" s="10"/>
      <c r="F70" s="10"/>
      <c r="G70" s="10"/>
      <c r="H70" s="10"/>
      <c r="I70" s="10"/>
    </row>
    <row r="71" spans="4:9" x14ac:dyDescent="0.3">
      <c r="D71" s="12" t="s">
        <v>1</v>
      </c>
      <c r="E71" s="12" t="s">
        <v>2</v>
      </c>
      <c r="F71" s="13" t="s">
        <v>257</v>
      </c>
      <c r="G71" s="12" t="s">
        <v>4</v>
      </c>
      <c r="H71" s="12" t="s">
        <v>5</v>
      </c>
      <c r="I71" s="12" t="s">
        <v>6</v>
      </c>
    </row>
    <row r="72" spans="4:9" x14ac:dyDescent="0.3">
      <c r="D72" s="1" t="s">
        <v>178</v>
      </c>
      <c r="E72" s="1" t="s">
        <v>179</v>
      </c>
      <c r="F72" s="1" t="s">
        <v>38</v>
      </c>
      <c r="G72" s="1" t="s">
        <v>304</v>
      </c>
      <c r="H72" s="1" t="s">
        <v>296</v>
      </c>
      <c r="I72" s="14" t="s">
        <v>244</v>
      </c>
    </row>
    <row r="73" spans="4:9" ht="28.8" x14ac:dyDescent="0.3">
      <c r="D73" s="1" t="s">
        <v>180</v>
      </c>
      <c r="E73" s="1" t="s">
        <v>181</v>
      </c>
      <c r="F73" s="1" t="s">
        <v>182</v>
      </c>
      <c r="G73" s="1" t="s">
        <v>305</v>
      </c>
      <c r="H73" s="1" t="s">
        <v>297</v>
      </c>
      <c r="I73" s="14" t="s">
        <v>244</v>
      </c>
    </row>
    <row r="74" spans="4:9" x14ac:dyDescent="0.3">
      <c r="D74" s="1" t="s">
        <v>183</v>
      </c>
      <c r="E74" s="1" t="s">
        <v>184</v>
      </c>
      <c r="F74" s="1" t="s">
        <v>185</v>
      </c>
      <c r="G74" s="1" t="s">
        <v>306</v>
      </c>
      <c r="H74" s="1" t="s">
        <v>297</v>
      </c>
      <c r="I74" s="14" t="s">
        <v>244</v>
      </c>
    </row>
    <row r="75" spans="4:9" ht="28.8" x14ac:dyDescent="0.3">
      <c r="D75" s="1" t="s">
        <v>186</v>
      </c>
      <c r="E75" s="1" t="s">
        <v>187</v>
      </c>
      <c r="F75" s="1" t="s">
        <v>188</v>
      </c>
      <c r="G75" s="1" t="s">
        <v>303</v>
      </c>
      <c r="H75" s="1" t="s">
        <v>298</v>
      </c>
      <c r="I75" s="14" t="s">
        <v>244</v>
      </c>
    </row>
    <row r="76" spans="4:9" x14ac:dyDescent="0.3">
      <c r="D76" s="1" t="s">
        <v>189</v>
      </c>
      <c r="E76" s="1" t="s">
        <v>190</v>
      </c>
      <c r="F76" s="1" t="s">
        <v>191</v>
      </c>
      <c r="G76" s="1" t="s">
        <v>302</v>
      </c>
      <c r="H76" s="1" t="s">
        <v>299</v>
      </c>
      <c r="I76" s="14" t="s">
        <v>244</v>
      </c>
    </row>
    <row r="77" spans="4:9" ht="28.8" x14ac:dyDescent="0.3">
      <c r="D77" s="1" t="s">
        <v>192</v>
      </c>
      <c r="E77" s="1" t="s">
        <v>193</v>
      </c>
      <c r="F77" s="1" t="s">
        <v>194</v>
      </c>
      <c r="G77" s="1" t="s">
        <v>301</v>
      </c>
      <c r="H77" s="1" t="s">
        <v>300</v>
      </c>
      <c r="I77" s="14" t="s">
        <v>244</v>
      </c>
    </row>
    <row r="78" spans="4:9" ht="28.8" x14ac:dyDescent="0.3">
      <c r="D78" s="1" t="s">
        <v>195</v>
      </c>
      <c r="E78" s="1" t="s">
        <v>196</v>
      </c>
      <c r="F78" s="1" t="s">
        <v>197</v>
      </c>
      <c r="G78" s="1" t="s">
        <v>198</v>
      </c>
      <c r="H78" s="1" t="s">
        <v>307</v>
      </c>
      <c r="I78" s="14" t="s">
        <v>244</v>
      </c>
    </row>
    <row r="79" spans="4:9" ht="28.8" x14ac:dyDescent="0.3">
      <c r="D79" s="1" t="s">
        <v>199</v>
      </c>
      <c r="E79" s="1" t="s">
        <v>200</v>
      </c>
      <c r="F79" s="1" t="s">
        <v>201</v>
      </c>
      <c r="G79" s="1" t="s">
        <v>202</v>
      </c>
      <c r="H79" s="1" t="s">
        <v>308</v>
      </c>
      <c r="I79" s="14" t="s">
        <v>244</v>
      </c>
    </row>
    <row r="81" spans="4:9" x14ac:dyDescent="0.3">
      <c r="D81" s="9" t="s">
        <v>203</v>
      </c>
      <c r="E81" s="10"/>
      <c r="F81" s="10"/>
      <c r="G81" s="10"/>
      <c r="H81" s="10"/>
      <c r="I81" s="10"/>
    </row>
    <row r="82" spans="4:9" x14ac:dyDescent="0.3">
      <c r="D82" s="12" t="s">
        <v>1</v>
      </c>
      <c r="E82" s="13" t="s">
        <v>2</v>
      </c>
      <c r="F82" s="12" t="s">
        <v>257</v>
      </c>
      <c r="G82" s="12" t="s">
        <v>4</v>
      </c>
      <c r="H82" s="12" t="s">
        <v>5</v>
      </c>
      <c r="I82" s="12" t="s">
        <v>6</v>
      </c>
    </row>
    <row r="83" spans="4:9" x14ac:dyDescent="0.3">
      <c r="D83" s="1" t="s">
        <v>204</v>
      </c>
      <c r="E83" s="1" t="s">
        <v>205</v>
      </c>
      <c r="F83" s="1" t="s">
        <v>38</v>
      </c>
      <c r="G83" s="1" t="s">
        <v>206</v>
      </c>
      <c r="H83" s="1" t="s">
        <v>309</v>
      </c>
      <c r="I83" s="14" t="s">
        <v>277</v>
      </c>
    </row>
    <row r="84" spans="4:9" ht="28.8" x14ac:dyDescent="0.3">
      <c r="D84" s="1" t="s">
        <v>207</v>
      </c>
      <c r="E84" s="1" t="s">
        <v>208</v>
      </c>
      <c r="F84" s="1" t="s">
        <v>209</v>
      </c>
      <c r="G84" s="1" t="s">
        <v>210</v>
      </c>
      <c r="H84" s="16" t="s">
        <v>310</v>
      </c>
      <c r="I84" s="14" t="s">
        <v>244</v>
      </c>
    </row>
    <row r="85" spans="4:9" ht="28.8" x14ac:dyDescent="0.3">
      <c r="D85" s="1" t="s">
        <v>211</v>
      </c>
      <c r="E85" s="1" t="s">
        <v>212</v>
      </c>
      <c r="F85" s="1" t="s">
        <v>213</v>
      </c>
      <c r="G85" s="1" t="s">
        <v>214</v>
      </c>
      <c r="H85" s="1" t="s">
        <v>311</v>
      </c>
      <c r="I85" s="14" t="s">
        <v>244</v>
      </c>
    </row>
    <row r="86" spans="4:9" ht="28.8" x14ac:dyDescent="0.3"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312</v>
      </c>
      <c r="I86" s="14" t="s">
        <v>244</v>
      </c>
    </row>
    <row r="87" spans="4:9" ht="28.8" x14ac:dyDescent="0.3">
      <c r="D87" s="1" t="s">
        <v>219</v>
      </c>
      <c r="E87" s="1" t="s">
        <v>220</v>
      </c>
      <c r="F87" s="1" t="s">
        <v>221</v>
      </c>
      <c r="G87" s="1" t="s">
        <v>222</v>
      </c>
      <c r="H87" s="1" t="s">
        <v>313</v>
      </c>
      <c r="I87" s="14" t="s">
        <v>244</v>
      </c>
    </row>
    <row r="88" spans="4:9" ht="28.8" x14ac:dyDescent="0.3">
      <c r="D88" s="1" t="s">
        <v>223</v>
      </c>
      <c r="E88" s="1" t="s">
        <v>224</v>
      </c>
      <c r="F88" s="1" t="s">
        <v>225</v>
      </c>
      <c r="G88" s="1" t="s">
        <v>226</v>
      </c>
      <c r="H88" s="1" t="s">
        <v>314</v>
      </c>
      <c r="I88" s="14" t="s">
        <v>244</v>
      </c>
    </row>
    <row r="89" spans="4:9" x14ac:dyDescent="0.3">
      <c r="D89" s="1" t="s">
        <v>227</v>
      </c>
      <c r="E89" s="1" t="s">
        <v>228</v>
      </c>
      <c r="F89" s="1" t="s">
        <v>229</v>
      </c>
      <c r="G89" s="1" t="s">
        <v>230</v>
      </c>
      <c r="H89" s="1" t="s">
        <v>315</v>
      </c>
      <c r="I89" s="14" t="s">
        <v>244</v>
      </c>
    </row>
    <row r="90" spans="4:9" ht="28.8" x14ac:dyDescent="0.3">
      <c r="D90" s="1" t="s">
        <v>231</v>
      </c>
      <c r="E90" s="1" t="s">
        <v>232</v>
      </c>
      <c r="F90" s="1" t="s">
        <v>38</v>
      </c>
      <c r="G90" s="1" t="s">
        <v>233</v>
      </c>
      <c r="H90" s="1" t="s">
        <v>316</v>
      </c>
      <c r="I90" s="14" t="s">
        <v>244</v>
      </c>
    </row>
  </sheetData>
  <mergeCells count="21"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D70:I70"/>
    <mergeCell ref="D81:I81"/>
    <mergeCell ref="T7:X7"/>
    <mergeCell ref="F2:G2"/>
    <mergeCell ref="D3:I3"/>
    <mergeCell ref="V30:W30"/>
    <mergeCell ref="D6:I6"/>
    <mergeCell ref="D17:I17"/>
    <mergeCell ref="D28:I28"/>
    <mergeCell ref="D39:I39"/>
    <mergeCell ref="D50:I50"/>
    <mergeCell ref="D60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reddy</dc:creator>
  <cp:lastModifiedBy>mali reddy</cp:lastModifiedBy>
  <dcterms:created xsi:type="dcterms:W3CDTF">2026-09-24T06:00:33Z</dcterms:created>
  <dcterms:modified xsi:type="dcterms:W3CDTF">2026-09-24T09:04:32Z</dcterms:modified>
</cp:coreProperties>
</file>